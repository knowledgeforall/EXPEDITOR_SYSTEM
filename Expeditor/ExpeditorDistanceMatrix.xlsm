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46AE5DD5-511D-4815-B776-82514A042B51}" xr6:coauthVersionLast="46" xr6:coauthVersionMax="46" xr10:uidLastSave="{00000000-0000-0000-0000-000000000000}"/>
  <bookViews>
    <workbookView xWindow="12330" yWindow="4125" windowWidth="40845" windowHeight="14790" xr2:uid="{2492A51C-7E86-48C2-8995-291EF4349F7B}"/>
  </bookViews>
  <sheets>
    <sheet name="SuperMatrix" sheetId="1" r:id="rId1"/>
    <sheet name="RestMatrix" sheetId="3" r:id="rId2"/>
    <sheet name="TransMatrix" sheetId="4" r:id="rId3"/>
    <sheet name="Database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4" i="1" l="1"/>
  <c r="C33" i="1"/>
  <c r="C32" i="1"/>
  <c r="C31" i="1"/>
  <c r="C30" i="1"/>
  <c r="C25" i="1"/>
  <c r="C29" i="1"/>
  <c r="C28" i="1"/>
  <c r="C27" i="1"/>
  <c r="C26" i="1"/>
  <c r="O22" i="1"/>
  <c r="O21" i="1"/>
  <c r="O20" i="1"/>
  <c r="O19" i="1"/>
  <c r="O18" i="1"/>
  <c r="O17" i="1"/>
  <c r="O16" i="1"/>
  <c r="O15" i="1"/>
  <c r="O14" i="1"/>
  <c r="O13" i="1"/>
  <c r="K22" i="1"/>
  <c r="K21" i="1"/>
  <c r="K20" i="1"/>
  <c r="K19" i="1"/>
  <c r="K18" i="1"/>
  <c r="K17" i="1"/>
  <c r="K16" i="1"/>
  <c r="K15" i="1"/>
  <c r="K14" i="1"/>
  <c r="K13" i="1"/>
  <c r="G22" i="1"/>
  <c r="G21" i="1"/>
  <c r="G20" i="1"/>
  <c r="G19" i="1"/>
  <c r="G18" i="1"/>
  <c r="G17" i="1"/>
  <c r="G16" i="1"/>
  <c r="G15" i="1"/>
  <c r="G14" i="1"/>
  <c r="G13" i="1"/>
  <c r="B34" i="1"/>
  <c r="B33" i="1"/>
  <c r="B32" i="1"/>
  <c r="B31" i="1"/>
  <c r="B30" i="1"/>
  <c r="B29" i="1"/>
  <c r="B28" i="1"/>
  <c r="B27" i="1"/>
  <c r="B26" i="1"/>
  <c r="B25" i="1"/>
  <c r="N22" i="1"/>
  <c r="N21" i="1"/>
  <c r="N20" i="1"/>
  <c r="N19" i="1"/>
  <c r="N18" i="1"/>
  <c r="N17" i="1"/>
  <c r="N16" i="1"/>
  <c r="N15" i="1"/>
  <c r="N14" i="1"/>
  <c r="N13" i="1"/>
  <c r="J22" i="1"/>
  <c r="J21" i="1"/>
  <c r="J20" i="1"/>
  <c r="J19" i="1"/>
  <c r="J18" i="1"/>
  <c r="J17" i="1"/>
  <c r="J16" i="1"/>
  <c r="J15" i="1"/>
  <c r="J14" i="1"/>
  <c r="J13" i="1"/>
  <c r="F19" i="1"/>
  <c r="F18" i="1"/>
  <c r="F17" i="1"/>
  <c r="F16" i="1"/>
  <c r="F15" i="1"/>
  <c r="F14" i="1"/>
  <c r="F13" i="1"/>
  <c r="F22" i="1"/>
  <c r="F21" i="1"/>
  <c r="F20" i="1"/>
  <c r="B16" i="1"/>
  <c r="B15" i="1"/>
  <c r="B14" i="1"/>
  <c r="B13" i="1"/>
  <c r="C34" i="3"/>
  <c r="C33" i="3"/>
  <c r="C32" i="3"/>
  <c r="C31" i="3"/>
  <c r="C30" i="3"/>
  <c r="C29" i="3"/>
  <c r="C28" i="3"/>
  <c r="C27" i="3"/>
  <c r="C26" i="3"/>
  <c r="C25" i="3"/>
  <c r="O22" i="3"/>
  <c r="O21" i="3"/>
  <c r="O20" i="3"/>
  <c r="O19" i="3"/>
  <c r="O18" i="3"/>
  <c r="O17" i="3"/>
  <c r="O16" i="3"/>
  <c r="O15" i="3"/>
  <c r="O14" i="3"/>
  <c r="O13" i="3"/>
  <c r="K22" i="3"/>
  <c r="K21" i="3"/>
  <c r="K20" i="3"/>
  <c r="K19" i="3"/>
  <c r="K18" i="3"/>
  <c r="K17" i="3"/>
  <c r="K16" i="3"/>
  <c r="K15" i="3"/>
  <c r="K14" i="3"/>
  <c r="K13" i="3"/>
  <c r="G13" i="3"/>
  <c r="B34" i="3"/>
  <c r="B33" i="3"/>
  <c r="B32" i="3"/>
  <c r="B31" i="3"/>
  <c r="B30" i="3"/>
  <c r="B29" i="3"/>
  <c r="B28" i="3"/>
  <c r="B27" i="3"/>
  <c r="B26" i="3"/>
  <c r="B25" i="3"/>
  <c r="N22" i="3"/>
  <c r="N21" i="3"/>
  <c r="N20" i="3"/>
  <c r="N19" i="3"/>
  <c r="N18" i="3"/>
  <c r="N17" i="3"/>
  <c r="N16" i="3"/>
  <c r="N15" i="3"/>
  <c r="N14" i="3"/>
  <c r="N13" i="3"/>
  <c r="J13" i="3"/>
  <c r="J22" i="3"/>
  <c r="J21" i="3"/>
  <c r="J20" i="3"/>
  <c r="J19" i="3"/>
  <c r="J18" i="3"/>
  <c r="J17" i="3"/>
  <c r="J16" i="3"/>
  <c r="J15" i="3"/>
  <c r="J14" i="3"/>
  <c r="F13" i="3"/>
  <c r="F22" i="3"/>
  <c r="F21" i="3"/>
  <c r="F20" i="3"/>
  <c r="F19" i="3"/>
  <c r="F18" i="3"/>
  <c r="F17" i="3"/>
  <c r="F16" i="3"/>
  <c r="F15" i="3"/>
  <c r="F14" i="3"/>
  <c r="G22" i="3"/>
  <c r="G21" i="3"/>
  <c r="G20" i="3"/>
  <c r="G19" i="3"/>
  <c r="G18" i="3"/>
  <c r="G17" i="3"/>
  <c r="G16" i="3"/>
  <c r="G15" i="3"/>
  <c r="G14" i="3"/>
  <c r="C13" i="3"/>
  <c r="B13" i="3"/>
  <c r="C22" i="4"/>
  <c r="C21" i="4"/>
  <c r="C20" i="4"/>
  <c r="C19" i="4"/>
  <c r="C18" i="4"/>
  <c r="C17" i="4"/>
  <c r="C16" i="4"/>
  <c r="C15" i="4"/>
  <c r="C14" i="4"/>
  <c r="C13" i="4"/>
  <c r="B22" i="4"/>
  <c r="B21" i="4"/>
  <c r="B20" i="4"/>
  <c r="B19" i="4"/>
  <c r="B18" i="4"/>
  <c r="B17" i="4"/>
  <c r="B16" i="4"/>
  <c r="B15" i="4"/>
  <c r="B14" i="4"/>
  <c r="B13" i="4"/>
  <c r="B8" i="1"/>
  <c r="B8" i="3"/>
  <c r="B8" i="4" l="1"/>
  <c r="B7" i="4"/>
  <c r="C18" i="1"/>
  <c r="C17" i="1"/>
  <c r="C16" i="1"/>
  <c r="C15" i="1"/>
  <c r="B21" i="1"/>
  <c r="B22" i="1"/>
  <c r="B20" i="1"/>
  <c r="B19" i="1"/>
  <c r="B18" i="1"/>
  <c r="B17" i="1"/>
  <c r="B22" i="3"/>
  <c r="B21" i="3"/>
  <c r="B20" i="3"/>
  <c r="B19" i="3"/>
  <c r="B18" i="3"/>
  <c r="B17" i="3"/>
  <c r="B16" i="3"/>
  <c r="B15" i="3"/>
  <c r="B14" i="3"/>
  <c r="C22" i="3"/>
  <c r="C21" i="3"/>
  <c r="C20" i="3"/>
  <c r="C19" i="3"/>
  <c r="C18" i="3"/>
  <c r="C15" i="3"/>
  <c r="C14" i="3"/>
  <c r="C17" i="3"/>
  <c r="C16" i="3"/>
  <c r="C22" i="1"/>
  <c r="C21" i="1"/>
  <c r="C20" i="1"/>
  <c r="C19" i="1"/>
  <c r="C13" i="1"/>
  <c r="C14" i="1"/>
  <c r="B11" i="4" a="1"/>
  <c r="B11" i="4" l="1"/>
  <c r="B7" i="3" l="1"/>
  <c r="B11" i="3" a="1"/>
  <c r="B11" i="3" l="1"/>
  <c r="B7" i="1"/>
  <c r="B11" i="1" a="1"/>
  <c r="B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<sst xmlns="http://schemas.openxmlformats.org/spreadsheetml/2006/main" count="234" uniqueCount="89">
  <si>
    <t>Distance Matrix</t>
  </si>
  <si>
    <t>Source Location</t>
  </si>
  <si>
    <t>Destination Location</t>
  </si>
  <si>
    <t>Source coordinates</t>
  </si>
  <si>
    <t>Destination Coordinates</t>
  </si>
  <si>
    <t>Distance</t>
  </si>
  <si>
    <t>Location</t>
  </si>
  <si>
    <t>Latitude</t>
  </si>
  <si>
    <t>Longitude</t>
  </si>
  <si>
    <t>Coordinates</t>
  </si>
  <si>
    <t>40.748586782827886, -73.98564294411813</t>
  </si>
  <si>
    <t>40.64999101802963, -73.77262926378069</t>
  </si>
  <si>
    <t>40.663339437536195, -73.93219945011481</t>
  </si>
  <si>
    <t>40.73061223438114, -73.84264202319473</t>
  </si>
  <si>
    <t>40.820888011502824, -73.86593875147705</t>
  </si>
  <si>
    <t>Key</t>
  </si>
  <si>
    <t>ArwDrLIOn7nqNihA8irCLzLbtyGewSN9vwOp4ZUxTdvFRVXI511V73t9iDdmgEX2</t>
  </si>
  <si>
    <t>2nd shortest supply distance</t>
  </si>
  <si>
    <t>3rd shortest supply distance</t>
  </si>
  <si>
    <t>40.87303557243528, -73.91269064596553</t>
  </si>
  <si>
    <t>40.60613074117754, -74.0706455441211</t>
  </si>
  <si>
    <t>40.65810703784798, -73.86456200179148</t>
  </si>
  <si>
    <t>40.5863574635236, -73.99773077416708</t>
  </si>
  <si>
    <t>40.77961895966764, -73.89572318829609</t>
  </si>
  <si>
    <t>40.70390698243557, -73.81652645946184</t>
  </si>
  <si>
    <t>40.677506669111125, -73.90006035761238</t>
  </si>
  <si>
    <t>4thshortest supply distance</t>
  </si>
  <si>
    <t>5th shortest supply distance</t>
  </si>
  <si>
    <t>6th shortest supply distance</t>
  </si>
  <si>
    <t>7th shortest supply distance</t>
  </si>
  <si>
    <t>8th shortest supply distance</t>
  </si>
  <si>
    <t>9th shortest supply distance</t>
  </si>
  <si>
    <t>10th shortest supply distance</t>
  </si>
  <si>
    <t>4h shortest supply distance</t>
  </si>
  <si>
    <t>myapi_vertical_farm_2</t>
  </si>
  <si>
    <t>myapi_vertical_farm_1</t>
  </si>
  <si>
    <t>myapi_vertical_farm_3</t>
  </si>
  <si>
    <t>myapi_vertical_farm_4</t>
  </si>
  <si>
    <t>myapi_vertical_farm_5</t>
  </si>
  <si>
    <t>myapi_vertical_farm_6</t>
  </si>
  <si>
    <t>myapi_vertical_farm_7</t>
  </si>
  <si>
    <t>myapi_vertical_farm_8</t>
  </si>
  <si>
    <t>myapi_vertical_farm_9</t>
  </si>
  <si>
    <t>myapi_vertical_farm_10</t>
  </si>
  <si>
    <t>40.748773122470894, -73.93740740423776</t>
  </si>
  <si>
    <t>40.75758382762806, -73.79323498459638</t>
  </si>
  <si>
    <t>40.63677044382106, -73.9598669862945</t>
  </si>
  <si>
    <t>myapi_vertical_Farm_1</t>
  </si>
  <si>
    <t>myapi_vertical_Farm_2</t>
  </si>
  <si>
    <t>myapi_vertical_Farm_3</t>
  </si>
  <si>
    <t>myapi_vertical_Farm_4</t>
  </si>
  <si>
    <t>myapi_vertical_Farm_5</t>
  </si>
  <si>
    <t>myapi_vertical_Farm_6</t>
  </si>
  <si>
    <t>myapi_vertical_Farm_7</t>
  </si>
  <si>
    <t>myapi_vertical_Farm_8</t>
  </si>
  <si>
    <t>myapi_vertical_Farm_9</t>
  </si>
  <si>
    <t>myapi_vertical_Farm_10</t>
  </si>
  <si>
    <t>myapi_transport_1</t>
  </si>
  <si>
    <t>myapi_transport_2</t>
  </si>
  <si>
    <t>myapi_transport_3</t>
  </si>
  <si>
    <t>Shortest transport distances</t>
  </si>
  <si>
    <t>40.53604946353762, -74.19404403719894</t>
  </si>
  <si>
    <t>40.6436062319817, -74.07683345946968</t>
  </si>
  <si>
    <t>40.58377922444849, -73.95068825067135</t>
  </si>
  <si>
    <t>40.84584909199126, -73.93617339260027</t>
  </si>
  <si>
    <t>40.87405063250988, -73.88399220066582</t>
  </si>
  <si>
    <t>40.81645027318567, -73.91694845951052</t>
  </si>
  <si>
    <t>40.720297624610346, -73.84494689344442</t>
  </si>
  <si>
    <t>40.663118589877456, -73.9608080440094</t>
  </si>
  <si>
    <t>myapi_supermarket_1</t>
  </si>
  <si>
    <t>myapi_supermarket_2</t>
  </si>
  <si>
    <t>myapi_supermarket_3</t>
  </si>
  <si>
    <t>myapi_supermarket_4</t>
  </si>
  <si>
    <t>myapi_supermarket_5</t>
  </si>
  <si>
    <t>myapi_restaurant_1</t>
  </si>
  <si>
    <t>myapi_restaurant_2</t>
  </si>
  <si>
    <t>myapi_restaurant_3</t>
  </si>
  <si>
    <t>myapi_restaurant_4</t>
  </si>
  <si>
    <t>myapi_restaurant_5</t>
  </si>
  <si>
    <t>Shortest supply distance rest 1</t>
  </si>
  <si>
    <t>Shortest supply distance rest 2</t>
  </si>
  <si>
    <t>Shortest supply distance rest 3</t>
  </si>
  <si>
    <t>Shortest supply distance rest 4</t>
  </si>
  <si>
    <t>Shortest supply distance rest 5</t>
  </si>
  <si>
    <t>Shortest supply distance super 1</t>
  </si>
  <si>
    <t>Shortest supply distance super 2</t>
  </si>
  <si>
    <t>Shortest supply distance super 3</t>
  </si>
  <si>
    <t>Shortest supply distance super 4</t>
  </si>
  <si>
    <t>Shortest supply distance super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</si>
</sst>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4465-4031-4EBB-A9F9-2F18965F32AD}">
  <sheetPr codeName="Sheet1"/>
  <dimension ref="A2:O34"/>
  <sheetViews>
    <sheetView tabSelected="1" workbookViewId="0">
      <selection activeCell="D31" sqref="D31"/>
    </sheetView>
  </sheetViews>
  <sheetFormatPr defaultRowHeight="15" x14ac:dyDescent="0.25"/>
  <cols>
    <col min="1" max="1" width="32.85546875" customWidth="1"/>
    <col min="2" max="2" width="39.28515625" customWidth="1"/>
    <col min="3" max="3" width="31.140625" customWidth="1"/>
    <col min="5" max="5" width="29.85546875" customWidth="1"/>
    <col min="6" max="6" width="21" customWidth="1"/>
    <col min="7" max="7" width="21.28515625" customWidth="1"/>
    <col min="8" max="8" width="21.140625" customWidth="1"/>
    <col min="9" max="9" width="30.140625" customWidth="1"/>
    <col min="10" max="10" width="21.140625" customWidth="1"/>
    <col min="11" max="11" width="20.85546875" customWidth="1"/>
    <col min="12" max="12" width="21.5703125" customWidth="1"/>
    <col min="13" max="13" width="29.7109375" customWidth="1"/>
    <col min="14" max="14" width="21.28515625" customWidth="1"/>
    <col min="15" max="15" width="22.28515625" customWidth="1"/>
  </cols>
  <sheetData>
    <row r="2" spans="1:15" x14ac:dyDescent="0.25">
      <c r="E2" t="s">
        <v>0</v>
      </c>
    </row>
    <row r="3" spans="1:15" x14ac:dyDescent="0.25">
      <c r="F3" t="s">
        <v>47</v>
      </c>
      <c r="G3" t="s">
        <v>48</v>
      </c>
      <c r="H3" t="s">
        <v>49</v>
      </c>
      <c r="I3" t="s">
        <v>50</v>
      </c>
      <c r="J3" t="s">
        <v>51</v>
      </c>
      <c r="K3" t="s">
        <v>52</v>
      </c>
      <c r="L3" t="s">
        <v>53</v>
      </c>
      <c r="M3" t="s">
        <v>54</v>
      </c>
      <c r="N3" t="s">
        <v>55</v>
      </c>
      <c r="O3" t="s">
        <v>56</v>
      </c>
    </row>
    <row r="4" spans="1:15" x14ac:dyDescent="0.25">
      <c r="A4" t="s">
        <v>1</v>
      </c>
      <c r="B4" t="s">
        <v>73</v>
      </c>
      <c r="E4" t="s">
        <v>69</v>
      </c>
      <c r="F4">
        <v>14</v>
      </c>
      <c r="G4">
        <v>16</v>
      </c>
      <c r="H4">
        <v>18</v>
      </c>
      <c r="I4">
        <v>18</v>
      </c>
      <c r="J4">
        <v>22</v>
      </c>
      <c r="K4">
        <v>30</v>
      </c>
      <c r="L4">
        <v>25</v>
      </c>
      <c r="M4">
        <v>15</v>
      </c>
      <c r="N4">
        <v>19</v>
      </c>
      <c r="O4">
        <v>26</v>
      </c>
    </row>
    <row r="5" spans="1:15" x14ac:dyDescent="0.25">
      <c r="A5" t="s">
        <v>2</v>
      </c>
      <c r="B5" t="s">
        <v>56</v>
      </c>
      <c r="E5" t="s">
        <v>70</v>
      </c>
      <c r="F5">
        <v>39</v>
      </c>
      <c r="G5">
        <v>52</v>
      </c>
      <c r="H5">
        <v>60</v>
      </c>
      <c r="I5">
        <v>58</v>
      </c>
      <c r="J5">
        <v>20</v>
      </c>
      <c r="K5">
        <v>46</v>
      </c>
      <c r="L5">
        <v>30</v>
      </c>
      <c r="M5">
        <v>51</v>
      </c>
      <c r="N5">
        <v>55</v>
      </c>
      <c r="O5">
        <v>48</v>
      </c>
    </row>
    <row r="6" spans="1:15" x14ac:dyDescent="0.25">
      <c r="E6" t="s">
        <v>71</v>
      </c>
      <c r="F6">
        <v>34</v>
      </c>
      <c r="G6">
        <v>22</v>
      </c>
      <c r="H6">
        <v>7</v>
      </c>
      <c r="I6">
        <v>4</v>
      </c>
      <c r="J6">
        <v>46</v>
      </c>
      <c r="K6">
        <v>35</v>
      </c>
      <c r="L6">
        <v>48</v>
      </c>
      <c r="M6">
        <v>18</v>
      </c>
      <c r="N6">
        <v>24</v>
      </c>
      <c r="O6">
        <v>30</v>
      </c>
    </row>
    <row r="7" spans="1:15" x14ac:dyDescent="0.25">
      <c r="A7" t="s">
        <v>3</v>
      </c>
      <c r="B7" t="str">
        <f>_xlfn.IFNA(VLOOKUP(B4,Database!A:D,4,0),"")</f>
        <v>40.663118589877456, -73.9608080440094</v>
      </c>
      <c r="E7" t="s">
        <v>72</v>
      </c>
      <c r="F7">
        <v>12</v>
      </c>
      <c r="G7">
        <v>2</v>
      </c>
      <c r="H7">
        <v>18</v>
      </c>
      <c r="I7">
        <v>26</v>
      </c>
      <c r="J7">
        <v>32</v>
      </c>
      <c r="K7">
        <v>15</v>
      </c>
      <c r="L7">
        <v>31</v>
      </c>
      <c r="M7">
        <v>11</v>
      </c>
      <c r="N7">
        <v>4</v>
      </c>
      <c r="O7">
        <v>9</v>
      </c>
    </row>
    <row r="8" spans="1:15" x14ac:dyDescent="0.25">
      <c r="A8" t="s">
        <v>4</v>
      </c>
      <c r="B8" t="str">
        <f>_xlfn.IFNA(VLOOKUP(B5,Database!A:D,4,0),"")</f>
        <v>40.677506669111125, -73.90006035761238</v>
      </c>
      <c r="E8" t="s">
        <v>73</v>
      </c>
      <c r="F8">
        <v>2</v>
      </c>
      <c r="G8">
        <v>20</v>
      </c>
      <c r="H8">
        <v>28</v>
      </c>
      <c r="I8">
        <v>33</v>
      </c>
      <c r="J8">
        <v>16</v>
      </c>
      <c r="K8">
        <v>10</v>
      </c>
      <c r="L8">
        <v>19</v>
      </c>
      <c r="M8">
        <v>19</v>
      </c>
      <c r="N8">
        <v>15</v>
      </c>
      <c r="O8">
        <v>7</v>
      </c>
    </row>
    <row r="9" spans="1:15" x14ac:dyDescent="0.25">
      <c r="A9" t="s">
        <v>15</v>
      </c>
      <c r="B9" t="s">
        <v>16</v>
      </c>
    </row>
    <row r="11" spans="1:15" x14ac:dyDescent="0.25">
      <c r="A11" t="s">
        <v>5</v>
      </c>
      <c r="B11" cm="1">
        <f t="array" ref="B11">GetDistance(B7,B8,B9)</f>
        <v>7</v>
      </c>
    </row>
    <row r="13" spans="1:15" x14ac:dyDescent="0.25">
      <c r="A13" t="s">
        <v>84</v>
      </c>
      <c r="B13">
        <f>SMALL(F4:O4,1)</f>
        <v>14</v>
      </c>
      <c r="C13" t="str">
        <f>INDEX($F$3:$O$3,MATCH(SMALL(F4:O4,1),F4:O4,0))</f>
        <v>myapi_vertical_Farm_1</v>
      </c>
      <c r="E13" t="s">
        <v>85</v>
      </c>
      <c r="F13">
        <f>SMALL(F5:O5,1)</f>
        <v>20</v>
      </c>
      <c r="G13" t="str">
        <f>INDEX($F$3:$O$3,MATCH(SMALL(F5:O5,1),F5:O5,0))</f>
        <v>myapi_vertical_Farm_5</v>
      </c>
      <c r="I13" t="s">
        <v>86</v>
      </c>
      <c r="J13">
        <f>SMALL(F6:O6,1)</f>
        <v>4</v>
      </c>
      <c r="K13" t="str">
        <f>INDEX($F$3:$O$3,MATCH(SMALL(F6:O6,1),F6:O6,0))</f>
        <v>myapi_vertical_Farm_4</v>
      </c>
      <c r="M13" t="s">
        <v>87</v>
      </c>
      <c r="N13">
        <f>SMALL(F7:O7,1)</f>
        <v>2</v>
      </c>
      <c r="O13" t="str">
        <f>INDEX($F$3:$O$3,MATCH(SMALL(F7:O7,1),F7:O7,0))</f>
        <v>myapi_vertical_Farm_2</v>
      </c>
    </row>
    <row r="14" spans="1:15" x14ac:dyDescent="0.25">
      <c r="A14" t="s">
        <v>17</v>
      </c>
      <c r="B14">
        <f>SMALL(F4:O4,2)</f>
        <v>15</v>
      </c>
      <c r="C14" t="str">
        <f>INDEX($F$3:$O$3,MATCH(SMALL(F4:O4,2),F4:O4,0))</f>
        <v>myapi_vertical_Farm_8</v>
      </c>
      <c r="E14" t="s">
        <v>17</v>
      </c>
      <c r="F14">
        <f>SMALL(F5:O5,2)</f>
        <v>30</v>
      </c>
      <c r="G14" t="str">
        <f>INDEX($F$3:$O$3,MATCH(SMALL(F5:O5,2),F5:O5,0))</f>
        <v>myapi_vertical_Farm_7</v>
      </c>
      <c r="I14" t="s">
        <v>17</v>
      </c>
      <c r="J14">
        <f>SMALL(F6:O6,2)</f>
        <v>7</v>
      </c>
      <c r="K14" t="str">
        <f>INDEX($F$3:$O$3,MATCH(SMALL(F6:O6,2),F6:O6,0))</f>
        <v>myapi_vertical_Farm_3</v>
      </c>
      <c r="M14" t="s">
        <v>17</v>
      </c>
      <c r="N14">
        <f>SMALL(F7:O7,2)</f>
        <v>4</v>
      </c>
      <c r="O14" t="str">
        <f>INDEX($F$3:$O$3,MATCH(SMALL(F7:O7,2),F7:O7,0))</f>
        <v>myapi_vertical_Farm_9</v>
      </c>
    </row>
    <row r="15" spans="1:15" x14ac:dyDescent="0.25">
      <c r="A15" t="s">
        <v>18</v>
      </c>
      <c r="B15">
        <f>SMALL(F4:O4,3)</f>
        <v>16</v>
      </c>
      <c r="C15" t="str">
        <f>INDEX($F$3:$O$3,MATCH(SMALL(F4:O4,3),F4:O4,0))</f>
        <v>myapi_vertical_Farm_2</v>
      </c>
      <c r="E15" t="s">
        <v>18</v>
      </c>
      <c r="F15">
        <f>SMALL(F5:O5,3)</f>
        <v>39</v>
      </c>
      <c r="G15" t="str">
        <f>INDEX($F$3:$O$3,MATCH(SMALL(F5:O5,3),F5:O5,0))</f>
        <v>myapi_vertical_Farm_1</v>
      </c>
      <c r="I15" t="s">
        <v>18</v>
      </c>
      <c r="J15">
        <f>SMALL(F6:O6,3)</f>
        <v>18</v>
      </c>
      <c r="K15" t="str">
        <f>INDEX($F$3:$O$3,MATCH(SMALL(F6:O6,3),F6:O6,0))</f>
        <v>myapi_vertical_Farm_8</v>
      </c>
      <c r="M15" t="s">
        <v>18</v>
      </c>
      <c r="N15">
        <f>SMALL(F7:O7,3)</f>
        <v>9</v>
      </c>
      <c r="O15" t="str">
        <f>INDEX($F$3:$O$3,MATCH(SMALL(F7:O7,3),F7:O7,0))</f>
        <v>myapi_vertical_Farm_10</v>
      </c>
    </row>
    <row r="16" spans="1:15" x14ac:dyDescent="0.25">
      <c r="A16" t="s">
        <v>33</v>
      </c>
      <c r="B16">
        <f>SMALL(F4:O4,4)</f>
        <v>18</v>
      </c>
      <c r="C16" t="str">
        <f>INDEX($F$3:$O$3,MATCH(SMALL(F4:O4,4),F4:O4,0))</f>
        <v>myapi_vertical_Farm_3</v>
      </c>
      <c r="E16" t="s">
        <v>33</v>
      </c>
      <c r="F16">
        <f>SMALL(F5:O5,4)</f>
        <v>46</v>
      </c>
      <c r="G16" t="str">
        <f>INDEX($F$3:$O$3,MATCH(SMALL(F5:O5,4),F5:O5,0))</f>
        <v>myapi_vertical_Farm_6</v>
      </c>
      <c r="I16" t="s">
        <v>33</v>
      </c>
      <c r="J16">
        <f>SMALL(F6:O6,4)</f>
        <v>22</v>
      </c>
      <c r="K16" t="str">
        <f>INDEX($F$3:$O$3,MATCH(SMALL(F6:O6,4),F6:O6,0))</f>
        <v>myapi_vertical_Farm_2</v>
      </c>
      <c r="M16" t="s">
        <v>33</v>
      </c>
      <c r="N16">
        <f>SMALL(F7:O7,4)</f>
        <v>11</v>
      </c>
      <c r="O16" t="str">
        <f>INDEX($F$3:$O$3,MATCH(SMALL(F7:O7,4),F7:O7,0))</f>
        <v>myapi_vertical_Farm_8</v>
      </c>
    </row>
    <row r="17" spans="1:15" x14ac:dyDescent="0.25">
      <c r="A17" t="s">
        <v>27</v>
      </c>
      <c r="B17">
        <f>SMALL(F4:O4,5)</f>
        <v>18</v>
      </c>
      <c r="C17" t="str">
        <f>INDEX($F$3:$O$3,MATCH(SMALL(F4:O4,5),F4:O4,0))</f>
        <v>myapi_vertical_Farm_3</v>
      </c>
      <c r="E17" t="s">
        <v>27</v>
      </c>
      <c r="F17">
        <f>SMALL(F5:O5,5)</f>
        <v>48</v>
      </c>
      <c r="G17" t="str">
        <f>INDEX($F$3:$O$3,MATCH(SMALL(F5:O5,5),F5:O5,0))</f>
        <v>myapi_vertical_Farm_10</v>
      </c>
      <c r="I17" t="s">
        <v>27</v>
      </c>
      <c r="J17">
        <f>SMALL(F6:O6,5)</f>
        <v>24</v>
      </c>
      <c r="K17" t="str">
        <f>INDEX($F$3:$O$3,MATCH(SMALL(F6:O6,5),F6:O6,0))</f>
        <v>myapi_vertical_Farm_9</v>
      </c>
      <c r="M17" t="s">
        <v>27</v>
      </c>
      <c r="N17">
        <f>SMALL(F7:O7,5)</f>
        <v>12</v>
      </c>
      <c r="O17" t="str">
        <f>INDEX($F$3:$O$3,MATCH(SMALL(F7:O7,5),F7:O7,0))</f>
        <v>myapi_vertical_Farm_1</v>
      </c>
    </row>
    <row r="18" spans="1:15" x14ac:dyDescent="0.25">
      <c r="A18" t="s">
        <v>28</v>
      </c>
      <c r="B18">
        <f>SMALL(F4:O4,6)</f>
        <v>19</v>
      </c>
      <c r="C18" t="str">
        <f>INDEX($F$3:$O$3,MATCH(SMALL(F4:O4,6),F4:O4,0))</f>
        <v>myapi_vertical_Farm_9</v>
      </c>
      <c r="E18" t="s">
        <v>28</v>
      </c>
      <c r="F18">
        <f>SMALL(F5:O5,6)</f>
        <v>51</v>
      </c>
      <c r="G18" t="str">
        <f>INDEX($F$3:$O$3,MATCH(SMALL(F5:O5,6),F5:O5,0))</f>
        <v>myapi_vertical_Farm_8</v>
      </c>
      <c r="I18" t="s">
        <v>28</v>
      </c>
      <c r="J18">
        <f>SMALL(F6:O6,6)</f>
        <v>30</v>
      </c>
      <c r="K18" t="str">
        <f>INDEX($F$3:$O$3,MATCH(SMALL(F6:O6,6),F6:O6,0))</f>
        <v>myapi_vertical_Farm_10</v>
      </c>
      <c r="M18" t="s">
        <v>28</v>
      </c>
      <c r="N18">
        <f>SMALL(F7:O7,6)</f>
        <v>15</v>
      </c>
      <c r="O18" t="str">
        <f>INDEX($F$3:$O$3,MATCH(SMALL(F7:O7,6),F7:O7,0))</f>
        <v>myapi_vertical_Farm_6</v>
      </c>
    </row>
    <row r="19" spans="1:15" x14ac:dyDescent="0.25">
      <c r="A19" t="s">
        <v>29</v>
      </c>
      <c r="B19">
        <f>SMALL(F4:O4,7)</f>
        <v>22</v>
      </c>
      <c r="C19" t="str">
        <f>INDEX($F$3:$O$3,MATCH(SMALL(F4:O4,7),F4:O4,0))</f>
        <v>myapi_vertical_Farm_5</v>
      </c>
      <c r="E19" t="s">
        <v>29</v>
      </c>
      <c r="F19">
        <f>SMALL(F5:O5,7)</f>
        <v>52</v>
      </c>
      <c r="G19" t="str">
        <f>INDEX($F$3:$O$3,MATCH(SMALL(F5:O5,7),F5:O5,0))</f>
        <v>myapi_vertical_Farm_2</v>
      </c>
      <c r="I19" t="s">
        <v>29</v>
      </c>
      <c r="J19">
        <f>SMALL(F6:O6,7)</f>
        <v>34</v>
      </c>
      <c r="K19" t="str">
        <f>INDEX($F$3:$O$3,MATCH(SMALL(F6:O6,7),F6:O6,0))</f>
        <v>myapi_vertical_Farm_1</v>
      </c>
      <c r="M19" t="s">
        <v>29</v>
      </c>
      <c r="N19">
        <f>SMALL(F7:O7,7)</f>
        <v>18</v>
      </c>
      <c r="O19" t="str">
        <f>INDEX($F$3:$O$3,MATCH(SMALL(F7:O7,7),F7:O7,0))</f>
        <v>myapi_vertical_Farm_3</v>
      </c>
    </row>
    <row r="20" spans="1:15" x14ac:dyDescent="0.25">
      <c r="A20" t="s">
        <v>30</v>
      </c>
      <c r="B20">
        <f>SMALL(F4:O4,8)</f>
        <v>25</v>
      </c>
      <c r="C20" t="str">
        <f>INDEX($F$3:$O$3,MATCH(SMALL(F4:O4,8),F4:O4,0))</f>
        <v>myapi_vertical_Farm_7</v>
      </c>
      <c r="E20" t="s">
        <v>30</v>
      </c>
      <c r="F20">
        <f>SMALL(F5:O5,8)</f>
        <v>55</v>
      </c>
      <c r="G20" t="str">
        <f>INDEX($F$3:$O$3,MATCH(SMALL(F5:O5,8),F5:O5,0))</f>
        <v>myapi_vertical_Farm_9</v>
      </c>
      <c r="I20" t="s">
        <v>30</v>
      </c>
      <c r="J20">
        <f>SMALL(F6:O6,8)</f>
        <v>35</v>
      </c>
      <c r="K20" t="str">
        <f>INDEX($F$3:$O$3,MATCH(SMALL(F6:O6,8),F6:O6,0))</f>
        <v>myapi_vertical_Farm_6</v>
      </c>
      <c r="M20" t="s">
        <v>30</v>
      </c>
      <c r="N20">
        <f>SMALL(F7:O7,8)</f>
        <v>26</v>
      </c>
      <c r="O20" t="str">
        <f>INDEX($F$3:$O$3,MATCH(SMALL(F7:O7,8),F7:O7,0))</f>
        <v>myapi_vertical_Farm_4</v>
      </c>
    </row>
    <row r="21" spans="1:15" x14ac:dyDescent="0.25">
      <c r="A21" t="s">
        <v>31</v>
      </c>
      <c r="B21">
        <f>SMALL(F4:O4,9)</f>
        <v>26</v>
      </c>
      <c r="C21" t="str">
        <f>INDEX($F$3:$O$3,MATCH(SMALL(F4:O4,9),F4:O4,0))</f>
        <v>myapi_vertical_Farm_10</v>
      </c>
      <c r="E21" t="s">
        <v>31</v>
      </c>
      <c r="F21">
        <f>SMALL(F5:O5,9)</f>
        <v>58</v>
      </c>
      <c r="G21" t="str">
        <f>INDEX($F$3:$O$3,MATCH(SMALL(F5:O5,9),F5:O5,0))</f>
        <v>myapi_vertical_Farm_4</v>
      </c>
      <c r="I21" t="s">
        <v>31</v>
      </c>
      <c r="J21">
        <f>SMALL(F6:O6,9)</f>
        <v>46</v>
      </c>
      <c r="K21" t="str">
        <f>INDEX($F$3:$O$3,MATCH(SMALL(F6:O6,9),F6:O6,0))</f>
        <v>myapi_vertical_Farm_5</v>
      </c>
      <c r="M21" t="s">
        <v>31</v>
      </c>
      <c r="N21">
        <f>SMALL(F7:O7,9)</f>
        <v>31</v>
      </c>
      <c r="O21" t="str">
        <f>INDEX($F$3:$O$3,MATCH(SMALL(F7:O7,9),F7:O7,0))</f>
        <v>myapi_vertical_Farm_7</v>
      </c>
    </row>
    <row r="22" spans="1:15" x14ac:dyDescent="0.25">
      <c r="A22" t="s">
        <v>32</v>
      </c>
      <c r="B22">
        <f>SMALL(F4:O4,10)</f>
        <v>30</v>
      </c>
      <c r="C22" t="str">
        <f>INDEX($F$3:$O$3,MATCH(SMALL(F4:O4,10),F4:O4,0))</f>
        <v>myapi_vertical_Farm_6</v>
      </c>
      <c r="E22" t="s">
        <v>32</v>
      </c>
      <c r="F22">
        <f>SMALL(F5:O5,10)</f>
        <v>60</v>
      </c>
      <c r="G22" t="str">
        <f>INDEX($F$3:$O$3,MATCH(SMALL(F5:O5,10),F5:O5,0))</f>
        <v>myapi_vertical_Farm_3</v>
      </c>
      <c r="I22" t="s">
        <v>32</v>
      </c>
      <c r="J22">
        <f>SMALL(F6:O6,10)</f>
        <v>48</v>
      </c>
      <c r="K22" t="str">
        <f>INDEX($F$3:$O$3,MATCH(SMALL(F6:O6,10),F6:O6,0))</f>
        <v>myapi_vertical_Farm_7</v>
      </c>
      <c r="M22" t="s">
        <v>32</v>
      </c>
      <c r="N22">
        <f>SMALL(F7:O7,10)</f>
        <v>32</v>
      </c>
      <c r="O22" t="str">
        <f>INDEX($F$3:$O$3,MATCH(SMALL(F7:O7,10),F7:O7,0))</f>
        <v>myapi_vertical_Farm_5</v>
      </c>
    </row>
    <row r="25" spans="1:15" x14ac:dyDescent="0.25">
      <c r="A25" t="s">
        <v>88</v>
      </c>
      <c r="B25">
        <f>SMALL(F8:O8,1)</f>
        <v>2</v>
      </c>
      <c r="C25" t="str">
        <f>INDEX($F$3:$O$3,MATCH(SMALL(F8:O8,1),F8:O8,0))</f>
        <v>myapi_vertical_Farm_1</v>
      </c>
    </row>
    <row r="26" spans="1:15" x14ac:dyDescent="0.25">
      <c r="A26" t="s">
        <v>17</v>
      </c>
      <c r="B26">
        <f>SMALL(F8:O8,2)</f>
        <v>7</v>
      </c>
      <c r="C26" t="str">
        <f>INDEX($F$3:$O$3,MATCH(SMALL(F8:O8,2),F8:O8,0))</f>
        <v>myapi_vertical_Farm_10</v>
      </c>
    </row>
    <row r="27" spans="1:15" x14ac:dyDescent="0.25">
      <c r="A27" t="s">
        <v>18</v>
      </c>
      <c r="B27">
        <f>SMALL(F8:O8,3)</f>
        <v>10</v>
      </c>
      <c r="C27" t="str">
        <f>INDEX($F$3:$O$3,MATCH(SMALL(F8:O8,3),F8:O8,0))</f>
        <v>myapi_vertical_Farm_6</v>
      </c>
    </row>
    <row r="28" spans="1:15" x14ac:dyDescent="0.25">
      <c r="A28" t="s">
        <v>33</v>
      </c>
      <c r="B28">
        <f>SMALL(F8:O8,4)</f>
        <v>15</v>
      </c>
      <c r="C28" t="str">
        <f>INDEX($F$3:$O$3,MATCH(SMALL(F8:O8,4),F8:O8,0))</f>
        <v>myapi_vertical_Farm_9</v>
      </c>
    </row>
    <row r="29" spans="1:15" x14ac:dyDescent="0.25">
      <c r="A29" t="s">
        <v>27</v>
      </c>
      <c r="B29">
        <f>SMALL(F8:O8,5)</f>
        <v>16</v>
      </c>
      <c r="C29" t="str">
        <f>INDEX($F$3:$O$3,MATCH(SMALL(F8:O8,5),F8:O8,0))</f>
        <v>myapi_vertical_Farm_5</v>
      </c>
    </row>
    <row r="30" spans="1:15" x14ac:dyDescent="0.25">
      <c r="A30" t="s">
        <v>28</v>
      </c>
      <c r="B30">
        <f>SMALL(F8:O8,6)</f>
        <v>19</v>
      </c>
      <c r="C30" t="str">
        <f>INDEX($F$3:$O$3,MATCH(SMALL(F8:O8,6),F8:O8,0))</f>
        <v>myapi_vertical_Farm_7</v>
      </c>
    </row>
    <row r="31" spans="1:15" x14ac:dyDescent="0.25">
      <c r="A31" t="s">
        <v>29</v>
      </c>
      <c r="B31">
        <f>SMALL(F8:O8,7)</f>
        <v>19</v>
      </c>
      <c r="C31" t="str">
        <f>INDEX($F$3:$O$3,MATCH(SMALL(F8:O8,7),F8:O8,0))</f>
        <v>myapi_vertical_Farm_7</v>
      </c>
    </row>
    <row r="32" spans="1:15" x14ac:dyDescent="0.25">
      <c r="A32" t="s">
        <v>30</v>
      </c>
      <c r="B32">
        <f>SMALL(F8:O8,8)</f>
        <v>20</v>
      </c>
      <c r="C32" t="str">
        <f>INDEX($F$3:$O$3,MATCH(SMALL(F8:O8,8),F8:O8,0))</f>
        <v>myapi_vertical_Farm_2</v>
      </c>
    </row>
    <row r="33" spans="1:3" x14ac:dyDescent="0.25">
      <c r="A33" t="s">
        <v>31</v>
      </c>
      <c r="B33">
        <f>SMALL(F8:O8,9)</f>
        <v>28</v>
      </c>
      <c r="C33" t="str">
        <f>INDEX($F$3:$O$3,MATCH(SMALL(F8:O8,9),F8:O8,0))</f>
        <v>myapi_vertical_Farm_3</v>
      </c>
    </row>
    <row r="34" spans="1:3" x14ac:dyDescent="0.25">
      <c r="A34" t="s">
        <v>32</v>
      </c>
      <c r="B34">
        <f>SMALL(F8:O8,10)</f>
        <v>33</v>
      </c>
      <c r="C34" t="str">
        <f>INDEX($F$3:$O$3,MATCH(SMALL(F8:O8,10),F8:O8,0))</f>
        <v>myapi_vertical_Farm_4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5141-3F3C-4B0D-A5D4-7EF0325402A7}">
  <sheetPr codeName="Sheet3"/>
  <dimension ref="A2:O34"/>
  <sheetViews>
    <sheetView workbookViewId="0">
      <selection activeCell="B25" sqref="B25"/>
    </sheetView>
  </sheetViews>
  <sheetFormatPr defaultRowHeight="15" x14ac:dyDescent="0.25"/>
  <cols>
    <col min="1" max="1" width="32.85546875" customWidth="1"/>
    <col min="2" max="2" width="39.28515625" customWidth="1"/>
    <col min="3" max="3" width="30.5703125" customWidth="1"/>
    <col min="5" max="5" width="28.28515625" customWidth="1"/>
    <col min="6" max="6" width="21" customWidth="1"/>
    <col min="7" max="7" width="21.140625" customWidth="1"/>
    <col min="8" max="8" width="21.28515625" customWidth="1"/>
    <col min="9" max="9" width="28.85546875" customWidth="1"/>
    <col min="10" max="10" width="20.7109375" customWidth="1"/>
    <col min="11" max="11" width="21" customWidth="1"/>
    <col min="12" max="12" width="21.140625" customWidth="1"/>
    <col min="13" max="13" width="28.42578125" customWidth="1"/>
    <col min="14" max="14" width="21.140625" customWidth="1"/>
    <col min="15" max="15" width="21.85546875" customWidth="1"/>
  </cols>
  <sheetData>
    <row r="2" spans="1:15" x14ac:dyDescent="0.25">
      <c r="E2" t="s">
        <v>0</v>
      </c>
    </row>
    <row r="3" spans="1:15" x14ac:dyDescent="0.25">
      <c r="F3" t="s">
        <v>35</v>
      </c>
      <c r="G3" t="s">
        <v>34</v>
      </c>
      <c r="H3" t="s">
        <v>36</v>
      </c>
      <c r="I3" t="s">
        <v>37</v>
      </c>
      <c r="J3" t="s">
        <v>38</v>
      </c>
      <c r="K3" t="s">
        <v>39</v>
      </c>
      <c r="L3" t="s">
        <v>40</v>
      </c>
      <c r="M3" t="s">
        <v>41</v>
      </c>
      <c r="N3" t="s">
        <v>42</v>
      </c>
      <c r="O3" t="s">
        <v>43</v>
      </c>
    </row>
    <row r="4" spans="1:15" x14ac:dyDescent="0.25">
      <c r="A4" t="s">
        <v>1</v>
      </c>
      <c r="B4" t="s">
        <v>78</v>
      </c>
      <c r="E4" t="s">
        <v>74</v>
      </c>
      <c r="F4">
        <v>16</v>
      </c>
      <c r="G4">
        <v>13</v>
      </c>
      <c r="H4">
        <v>27</v>
      </c>
      <c r="I4">
        <v>36</v>
      </c>
      <c r="J4">
        <v>35</v>
      </c>
      <c r="K4">
        <v>11</v>
      </c>
      <c r="L4">
        <v>27</v>
      </c>
      <c r="M4">
        <v>21</v>
      </c>
      <c r="N4">
        <v>8</v>
      </c>
      <c r="O4">
        <v>13</v>
      </c>
    </row>
    <row r="5" spans="1:15" x14ac:dyDescent="0.25">
      <c r="A5" t="s">
        <v>2</v>
      </c>
      <c r="B5" t="s">
        <v>43</v>
      </c>
      <c r="E5" t="s">
        <v>75</v>
      </c>
      <c r="F5">
        <v>24</v>
      </c>
      <c r="G5">
        <v>38</v>
      </c>
      <c r="H5">
        <v>45</v>
      </c>
      <c r="I5">
        <v>50</v>
      </c>
      <c r="J5">
        <v>5</v>
      </c>
      <c r="K5">
        <v>31</v>
      </c>
      <c r="L5">
        <v>15</v>
      </c>
      <c r="M5">
        <v>36</v>
      </c>
      <c r="N5">
        <v>41</v>
      </c>
      <c r="O5">
        <v>34</v>
      </c>
    </row>
    <row r="6" spans="1:15" x14ac:dyDescent="0.25">
      <c r="E6" t="s">
        <v>76</v>
      </c>
      <c r="F6">
        <v>14</v>
      </c>
      <c r="G6">
        <v>29</v>
      </c>
      <c r="H6">
        <v>43</v>
      </c>
      <c r="I6">
        <v>51</v>
      </c>
      <c r="J6">
        <v>13</v>
      </c>
      <c r="K6">
        <v>14</v>
      </c>
      <c r="L6">
        <v>5</v>
      </c>
      <c r="M6">
        <v>37</v>
      </c>
      <c r="N6">
        <v>25</v>
      </c>
      <c r="O6">
        <v>16</v>
      </c>
    </row>
    <row r="7" spans="1:15" x14ac:dyDescent="0.25">
      <c r="A7" t="s">
        <v>3</v>
      </c>
      <c r="B7" t="str">
        <f>_xlfn.IFNA(VLOOKUP(B4,Database!A:D,4,0),"")</f>
        <v>40.81645027318567, -73.91694845951052</v>
      </c>
      <c r="E7" t="s">
        <v>77</v>
      </c>
      <c r="F7">
        <v>34</v>
      </c>
      <c r="G7">
        <v>21</v>
      </c>
      <c r="H7">
        <v>9</v>
      </c>
      <c r="I7">
        <v>4</v>
      </c>
      <c r="J7">
        <v>37</v>
      </c>
      <c r="K7">
        <v>35</v>
      </c>
      <c r="L7">
        <v>40</v>
      </c>
      <c r="M7">
        <v>13</v>
      </c>
      <c r="N7">
        <v>24</v>
      </c>
      <c r="O7">
        <v>31</v>
      </c>
    </row>
    <row r="8" spans="1:15" x14ac:dyDescent="0.25">
      <c r="A8" t="s">
        <v>4</v>
      </c>
      <c r="B8" t="str">
        <f>_xlfn.IFNA(VLOOKUP(B5,Database!A:D,4,0),"")</f>
        <v>40.677506669111125, -73.90006035761238</v>
      </c>
      <c r="E8" t="s">
        <v>78</v>
      </c>
      <c r="F8">
        <v>30</v>
      </c>
      <c r="G8">
        <v>17</v>
      </c>
      <c r="H8">
        <v>5</v>
      </c>
      <c r="I8">
        <v>10</v>
      </c>
      <c r="J8">
        <v>37</v>
      </c>
      <c r="K8">
        <v>31</v>
      </c>
      <c r="L8">
        <v>39</v>
      </c>
      <c r="M8">
        <v>9</v>
      </c>
      <c r="N8">
        <v>20</v>
      </c>
      <c r="O8">
        <v>26</v>
      </c>
    </row>
    <row r="9" spans="1:15" x14ac:dyDescent="0.25">
      <c r="A9" t="s">
        <v>15</v>
      </c>
      <c r="B9" t="s">
        <v>16</v>
      </c>
    </row>
    <row r="11" spans="1:15" x14ac:dyDescent="0.25">
      <c r="A11" t="s">
        <v>5</v>
      </c>
      <c r="B11" cm="1">
        <f t="array" ref="B11">GetDistance(B7,B8,B9)</f>
        <v>26</v>
      </c>
    </row>
    <row r="13" spans="1:15" x14ac:dyDescent="0.25">
      <c r="A13" t="s">
        <v>79</v>
      </c>
      <c r="B13">
        <f>SMALL(F4:O4,1)</f>
        <v>8</v>
      </c>
      <c r="C13" t="str">
        <f>INDEX($F$3:$O$3,MATCH(SMALL(F4:O4,1),F4:O4,0))</f>
        <v>myapi_vertical_farm_9</v>
      </c>
      <c r="E13" t="s">
        <v>80</v>
      </c>
      <c r="F13">
        <f>SMALL(F5:O5,1)</f>
        <v>5</v>
      </c>
      <c r="G13" t="str">
        <f>INDEX($F$3:$O$3,MATCH(SMALL(F5:O5,1),F5:O5,0))</f>
        <v>myapi_vertical_farm_5</v>
      </c>
      <c r="I13" t="s">
        <v>81</v>
      </c>
      <c r="J13">
        <f>SMALL(F6:O6,1)</f>
        <v>5</v>
      </c>
      <c r="K13" t="str">
        <f>INDEX($F$3:$O$3,MATCH(SMALL(F6:O6,1),F6:O6,0))</f>
        <v>myapi_vertical_farm_7</v>
      </c>
      <c r="M13" t="s">
        <v>82</v>
      </c>
      <c r="N13">
        <f>SMALL(F7:O7,1)</f>
        <v>4</v>
      </c>
      <c r="O13" t="str">
        <f>INDEX($F$3:$O$3,MATCH(SMALL(F7:O7,1),F7:O7,0))</f>
        <v>myapi_vertical_farm_4</v>
      </c>
    </row>
    <row r="14" spans="1:15" x14ac:dyDescent="0.25">
      <c r="A14" t="s">
        <v>17</v>
      </c>
      <c r="B14">
        <f>SMALL(F4:O4,2)</f>
        <v>11</v>
      </c>
      <c r="C14" t="str">
        <f>INDEX($F$3:$O$3,MATCH(SMALL(F4:O4,2),F4:O4,0))</f>
        <v>myapi_vertical_farm_6</v>
      </c>
      <c r="E14" t="s">
        <v>17</v>
      </c>
      <c r="F14">
        <f>SMALL(F5:O5,2)</f>
        <v>15</v>
      </c>
      <c r="G14" t="str">
        <f>INDEX($F$3:$O$3,MATCH(SMALL(F5:O5,2),F5:O5,0))</f>
        <v>myapi_vertical_farm_7</v>
      </c>
      <c r="I14" t="s">
        <v>17</v>
      </c>
      <c r="J14">
        <f>SMALL(F6:O6,2)</f>
        <v>13</v>
      </c>
      <c r="K14" t="str">
        <f>INDEX($F$3:$O$3,MATCH(SMALL(F6:O6,1),F6:O6,0))</f>
        <v>myapi_vertical_farm_7</v>
      </c>
      <c r="M14" t="s">
        <v>17</v>
      </c>
      <c r="N14">
        <f>SMALL(F7:O7,2)</f>
        <v>9</v>
      </c>
      <c r="O14" t="str">
        <f>INDEX($F$3:$O$3,MATCH(SMALL(F7:O7,1),F7:O7,0))</f>
        <v>myapi_vertical_farm_4</v>
      </c>
    </row>
    <row r="15" spans="1:15" x14ac:dyDescent="0.25">
      <c r="A15" t="s">
        <v>18</v>
      </c>
      <c r="B15">
        <f>SMALL(F4:O4,3)</f>
        <v>13</v>
      </c>
      <c r="C15" t="str">
        <f>INDEX($F$3:$O$3,MATCH(SMALL(F4:O4,3),F4:O4,0))</f>
        <v>myapi_vertical_farm_2</v>
      </c>
      <c r="E15" t="s">
        <v>18</v>
      </c>
      <c r="F15">
        <f>SMALL(F5:O5,3)</f>
        <v>24</v>
      </c>
      <c r="G15" t="str">
        <f>INDEX($F$3:$O$3,MATCH(SMALL(F5:O5,3),F5:O5,0))</f>
        <v>myapi_vertical_farm_1</v>
      </c>
      <c r="I15" t="s">
        <v>18</v>
      </c>
      <c r="J15">
        <f>SMALL(F6:O6,3)</f>
        <v>14</v>
      </c>
      <c r="K15" t="str">
        <f>INDEX($F$3:$O$3,MATCH(SMALL(F6:O6,1),F6:O6,0))</f>
        <v>myapi_vertical_farm_7</v>
      </c>
      <c r="M15" t="s">
        <v>18</v>
      </c>
      <c r="N15">
        <f>SMALL(F7:O7,3)</f>
        <v>13</v>
      </c>
      <c r="O15" t="str">
        <f>INDEX($F$3:$O$3,MATCH(SMALL(F7:O7,1),F7:O7,0))</f>
        <v>myapi_vertical_farm_4</v>
      </c>
    </row>
    <row r="16" spans="1:15" x14ac:dyDescent="0.25">
      <c r="A16" t="s">
        <v>26</v>
      </c>
      <c r="B16">
        <f>SMALL(F4:O4,4)</f>
        <v>13</v>
      </c>
      <c r="C16" t="str">
        <f>INDEX($F$3:$O$3,MATCH(SMALL(F4:O4,4),F4:O4,0))</f>
        <v>myapi_vertical_farm_2</v>
      </c>
      <c r="E16" t="s">
        <v>26</v>
      </c>
      <c r="F16">
        <f>SMALL(F5:O5,4)</f>
        <v>31</v>
      </c>
      <c r="G16" t="str">
        <f>INDEX($F$3:$O$3,MATCH(SMALL(F5:O5,4),F5:O5,0))</f>
        <v>myapi_vertical_farm_6</v>
      </c>
      <c r="I16" t="s">
        <v>26</v>
      </c>
      <c r="J16">
        <f>SMALL(F6:O6,4)</f>
        <v>14</v>
      </c>
      <c r="K16" t="str">
        <f>INDEX($F$3:$O$3,MATCH(SMALL(F6:O6,1),F6:O6,0))</f>
        <v>myapi_vertical_farm_7</v>
      </c>
      <c r="M16" t="s">
        <v>26</v>
      </c>
      <c r="N16">
        <f>SMALL(F7:O7,4)</f>
        <v>21</v>
      </c>
      <c r="O16" t="str">
        <f>INDEX($F$3:$O$3,MATCH(SMALL(F7:O7,1),F7:O7,0))</f>
        <v>myapi_vertical_farm_4</v>
      </c>
    </row>
    <row r="17" spans="1:15" x14ac:dyDescent="0.25">
      <c r="A17" t="s">
        <v>27</v>
      </c>
      <c r="B17">
        <f>SMALL(F4:O4,5)</f>
        <v>16</v>
      </c>
      <c r="C17" t="str">
        <f>INDEX($F$3:$O$3,MATCH(SMALL(F4:O4,5),F4:O4,0))</f>
        <v>myapi_vertical_farm_1</v>
      </c>
      <c r="E17" t="s">
        <v>27</v>
      </c>
      <c r="F17">
        <f>SMALL(F5:O5,5)</f>
        <v>34</v>
      </c>
      <c r="G17" t="str">
        <f>INDEX($F$3:$O$3,MATCH(SMALL(F5:O5,5),F5:O5,0))</f>
        <v>myapi_vertical_farm_10</v>
      </c>
      <c r="I17" t="s">
        <v>27</v>
      </c>
      <c r="J17">
        <f>SMALL(F6:O6,5)</f>
        <v>16</v>
      </c>
      <c r="K17" t="str">
        <f>INDEX($F$3:$O$3,MATCH(SMALL(F6:O6,1),F6:O6,0))</f>
        <v>myapi_vertical_farm_7</v>
      </c>
      <c r="M17" t="s">
        <v>27</v>
      </c>
      <c r="N17">
        <f>SMALL(F7:O7,5)</f>
        <v>24</v>
      </c>
      <c r="O17" t="str">
        <f>INDEX($F$3:$O$3,MATCH(SMALL(F7:O7,1),F7:O7,0))</f>
        <v>myapi_vertical_farm_4</v>
      </c>
    </row>
    <row r="18" spans="1:15" x14ac:dyDescent="0.25">
      <c r="A18" t="s">
        <v>28</v>
      </c>
      <c r="B18">
        <f>SMALL(F4:O4,6)</f>
        <v>21</v>
      </c>
      <c r="C18" t="str">
        <f>INDEX($F$3:$O$3,MATCH(SMALL(F4:O4,6),F4:O4,0))</f>
        <v>myapi_vertical_farm_8</v>
      </c>
      <c r="E18" t="s">
        <v>28</v>
      </c>
      <c r="F18">
        <f>SMALL(F5:O5,6)</f>
        <v>36</v>
      </c>
      <c r="G18" t="str">
        <f>INDEX($F$3:$O$3,MATCH(SMALL(F5:O5,6),F5:O5,0))</f>
        <v>myapi_vertical_farm_8</v>
      </c>
      <c r="I18" t="s">
        <v>28</v>
      </c>
      <c r="J18">
        <f>SMALL(F6:O6,6)</f>
        <v>25</v>
      </c>
      <c r="K18" t="str">
        <f>INDEX($F$3:$O$3,MATCH(SMALL(F6:O6,1),F6:O6,0))</f>
        <v>myapi_vertical_farm_7</v>
      </c>
      <c r="M18" t="s">
        <v>28</v>
      </c>
      <c r="N18">
        <f>SMALL(F7:O7,6)</f>
        <v>31</v>
      </c>
      <c r="O18" t="str">
        <f>INDEX($F$3:$O$3,MATCH(SMALL(F7:O7,1),F7:O7,0))</f>
        <v>myapi_vertical_farm_4</v>
      </c>
    </row>
    <row r="19" spans="1:15" x14ac:dyDescent="0.25">
      <c r="A19" t="s">
        <v>29</v>
      </c>
      <c r="B19">
        <f>SMALL(F4:O4,7)</f>
        <v>27</v>
      </c>
      <c r="C19" t="str">
        <f>INDEX($F$3:$O$3,MATCH(SMALL(F4:O4,7),F4:O4,0))</f>
        <v>myapi_vertical_farm_3</v>
      </c>
      <c r="E19" t="s">
        <v>29</v>
      </c>
      <c r="F19">
        <f>SMALL(F5:O5,7)</f>
        <v>38</v>
      </c>
      <c r="G19" t="str">
        <f>INDEX($F$3:$O$3,MATCH(SMALL(F5:O5,7),F5:O5,0))</f>
        <v>myapi_vertical_farm_2</v>
      </c>
      <c r="I19" t="s">
        <v>29</v>
      </c>
      <c r="J19">
        <f>SMALL(F6:O6,7)</f>
        <v>29</v>
      </c>
      <c r="K19" t="str">
        <f>INDEX($F$3:$O$3,MATCH(SMALL(F6:O6,1),F6:O6,0))</f>
        <v>myapi_vertical_farm_7</v>
      </c>
      <c r="M19" t="s">
        <v>29</v>
      </c>
      <c r="N19">
        <f>SMALL(F7:O7,7)</f>
        <v>34</v>
      </c>
      <c r="O19" t="str">
        <f>INDEX($F$3:$O$3,MATCH(SMALL(F7:O7,1),F7:O7,0))</f>
        <v>myapi_vertical_farm_4</v>
      </c>
    </row>
    <row r="20" spans="1:15" x14ac:dyDescent="0.25">
      <c r="A20" t="s">
        <v>30</v>
      </c>
      <c r="B20">
        <f>SMALL(F4:O4,8)</f>
        <v>27</v>
      </c>
      <c r="C20" t="str">
        <f>INDEX($F$3:$O$3,MATCH(SMALL(F4:O4,8),F4:O4,0))</f>
        <v>myapi_vertical_farm_3</v>
      </c>
      <c r="E20" t="s">
        <v>30</v>
      </c>
      <c r="F20">
        <f>SMALL(F5:O5,8)</f>
        <v>41</v>
      </c>
      <c r="G20" t="str">
        <f>INDEX($F$3:$O$3,MATCH(SMALL(F5:O5,8),F5:O5,0))</f>
        <v>myapi_vertical_farm_9</v>
      </c>
      <c r="I20" t="s">
        <v>30</v>
      </c>
      <c r="J20">
        <f>SMALL(F6:O6,8)</f>
        <v>37</v>
      </c>
      <c r="K20" t="str">
        <f>INDEX($F$3:$O$3,MATCH(SMALL(F6:O6,1),F6:O6,0))</f>
        <v>myapi_vertical_farm_7</v>
      </c>
      <c r="M20" t="s">
        <v>30</v>
      </c>
      <c r="N20">
        <f>SMALL(F7:O7,8)</f>
        <v>35</v>
      </c>
      <c r="O20" t="str">
        <f>INDEX($F$3:$O$3,MATCH(SMALL(F7:O7,1),F7:O7,0))</f>
        <v>myapi_vertical_farm_4</v>
      </c>
    </row>
    <row r="21" spans="1:15" x14ac:dyDescent="0.25">
      <c r="A21" t="s">
        <v>31</v>
      </c>
      <c r="B21">
        <f>SMALL(F4:O4,9)</f>
        <v>35</v>
      </c>
      <c r="C21" t="str">
        <f>INDEX($F$3:$O$3,MATCH(SMALL(F4:O4,9),F4:O4,0))</f>
        <v>myapi_vertical_farm_5</v>
      </c>
      <c r="E21" t="s">
        <v>31</v>
      </c>
      <c r="F21">
        <f>SMALL(F5:O5,9)</f>
        <v>45</v>
      </c>
      <c r="G21" t="str">
        <f>INDEX($F$3:$O$3,MATCH(SMALL(F5:O5,9),F5:O5,0))</f>
        <v>myapi_vertical_farm_3</v>
      </c>
      <c r="I21" t="s">
        <v>31</v>
      </c>
      <c r="J21">
        <f>SMALL(F6:O6,9)</f>
        <v>43</v>
      </c>
      <c r="K21" t="str">
        <f>INDEX($F$3:$O$3,MATCH(SMALL(F6:O6,1),F6:O6,0))</f>
        <v>myapi_vertical_farm_7</v>
      </c>
      <c r="M21" t="s">
        <v>31</v>
      </c>
      <c r="N21">
        <f>SMALL(F7:O7,9)</f>
        <v>37</v>
      </c>
      <c r="O21" t="str">
        <f>INDEX($F$3:$O$3,MATCH(SMALL(F7:O7,1),F7:O7,0))</f>
        <v>myapi_vertical_farm_4</v>
      </c>
    </row>
    <row r="22" spans="1:15" x14ac:dyDescent="0.25">
      <c r="A22" t="s">
        <v>32</v>
      </c>
      <c r="B22">
        <f>SMALL(F4:O4,10)</f>
        <v>36</v>
      </c>
      <c r="C22" t="str">
        <f>INDEX($F$3:$O$3,MATCH(SMALL(F4:O4,10),F4:O4,0))</f>
        <v>myapi_vertical_farm_4</v>
      </c>
      <c r="E22" t="s">
        <v>32</v>
      </c>
      <c r="F22">
        <f>SMALL(F5:O5,10)</f>
        <v>50</v>
      </c>
      <c r="G22" t="str">
        <f>INDEX($F$3:$O$3,MATCH(SMALL(F5:O5,10),F5:O5,0))</f>
        <v>myapi_vertical_farm_4</v>
      </c>
      <c r="I22" t="s">
        <v>32</v>
      </c>
      <c r="J22">
        <f>SMALL(F6:O6,10)</f>
        <v>51</v>
      </c>
      <c r="K22" t="str">
        <f>INDEX($F$3:$O$3,MATCH(SMALL(F6:O6,1),F6:O6,0))</f>
        <v>myapi_vertical_farm_7</v>
      </c>
      <c r="M22" t="s">
        <v>32</v>
      </c>
      <c r="N22">
        <f>SMALL(F7:O7,10)</f>
        <v>40</v>
      </c>
      <c r="O22" t="str">
        <f>INDEX($F$3:$O$3,MATCH(SMALL(F7:O7,1),F7:O7,0))</f>
        <v>myapi_vertical_farm_4</v>
      </c>
    </row>
    <row r="25" spans="1:15" x14ac:dyDescent="0.25">
      <c r="A25" t="s">
        <v>83</v>
      </c>
      <c r="B25">
        <f>SMALL(F8:O8,1)</f>
        <v>5</v>
      </c>
      <c r="C25" t="str">
        <f>INDEX($F$3:$O$3,MATCH(SMALL(F8:O8,1),F8:O8,0))</f>
        <v>myapi_vertical_farm_3</v>
      </c>
    </row>
    <row r="26" spans="1:15" x14ac:dyDescent="0.25">
      <c r="A26" t="s">
        <v>17</v>
      </c>
      <c r="B26">
        <f>SMALL(F8:O8,2)</f>
        <v>9</v>
      </c>
      <c r="C26" t="str">
        <f>INDEX($F$3:$O$3,MATCH(SMALL(F8:O8,1),F8:O8,0))</f>
        <v>myapi_vertical_farm_3</v>
      </c>
    </row>
    <row r="27" spans="1:15" x14ac:dyDescent="0.25">
      <c r="A27" t="s">
        <v>18</v>
      </c>
      <c r="B27">
        <f>SMALL(F8:O8,3)</f>
        <v>10</v>
      </c>
      <c r="C27" t="str">
        <f>INDEX($F$3:$O$3,MATCH(SMALL(F8:O8,1),F8:O8,0))</f>
        <v>myapi_vertical_farm_3</v>
      </c>
    </row>
    <row r="28" spans="1:15" x14ac:dyDescent="0.25">
      <c r="A28" t="s">
        <v>26</v>
      </c>
      <c r="B28">
        <f>SMALL(F8:O8,4)</f>
        <v>17</v>
      </c>
      <c r="C28" t="str">
        <f>INDEX($F$3:$O$3,MATCH(SMALL(F8:O8,1),F8:O8,0))</f>
        <v>myapi_vertical_farm_3</v>
      </c>
    </row>
    <row r="29" spans="1:15" x14ac:dyDescent="0.25">
      <c r="A29" t="s">
        <v>27</v>
      </c>
      <c r="B29">
        <f>SMALL(F8:O8,5)</f>
        <v>20</v>
      </c>
      <c r="C29" t="str">
        <f>INDEX($F$3:$O$3,MATCH(SMALL(F8:O8,1),F8:O8,0))</f>
        <v>myapi_vertical_farm_3</v>
      </c>
    </row>
    <row r="30" spans="1:15" x14ac:dyDescent="0.25">
      <c r="A30" t="s">
        <v>28</v>
      </c>
      <c r="B30">
        <f>SMALL(F8:O8,6)</f>
        <v>26</v>
      </c>
      <c r="C30" t="str">
        <f>INDEX($F$3:$O$3,MATCH(SMALL(F8:O8,1),F8:O8,0))</f>
        <v>myapi_vertical_farm_3</v>
      </c>
    </row>
    <row r="31" spans="1:15" x14ac:dyDescent="0.25">
      <c r="A31" t="s">
        <v>29</v>
      </c>
      <c r="B31">
        <f>SMALL(F8:O8,7)</f>
        <v>30</v>
      </c>
      <c r="C31" t="str">
        <f>INDEX($F$3:$O$3,MATCH(SMALL(F8:O8,1),F8:O8,0))</f>
        <v>myapi_vertical_farm_3</v>
      </c>
    </row>
    <row r="32" spans="1:15" x14ac:dyDescent="0.25">
      <c r="A32" t="s">
        <v>30</v>
      </c>
      <c r="B32">
        <f>SMALL(F8:O8,8)</f>
        <v>31</v>
      </c>
      <c r="C32" t="str">
        <f>INDEX($F$3:$O$3,MATCH(SMALL(F8:O8,1),F8:O8,0))</f>
        <v>myapi_vertical_farm_3</v>
      </c>
    </row>
    <row r="33" spans="1:3" x14ac:dyDescent="0.25">
      <c r="A33" t="s">
        <v>31</v>
      </c>
      <c r="B33">
        <f>SMALL(F8:O8,9)</f>
        <v>37</v>
      </c>
      <c r="C33" t="str">
        <f>INDEX($F$3:$O$3,MATCH(SMALL(F8:O8,1),F8:O8,0))</f>
        <v>myapi_vertical_farm_3</v>
      </c>
    </row>
    <row r="34" spans="1:3" x14ac:dyDescent="0.25">
      <c r="A34" t="s">
        <v>32</v>
      </c>
      <c r="B34">
        <f>SMALL(F8:O8,10)</f>
        <v>39</v>
      </c>
      <c r="C34" t="str">
        <f>INDEX($F$3:$O$3,MATCH(SMALL(F8:O8,1),F8:O8,0))</f>
        <v>myapi_vertical_farm_3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CC85B-B99E-416B-809B-6BB6EE08FE16}">
  <sheetPr codeName="Sheet4"/>
  <dimension ref="A2:O22"/>
  <sheetViews>
    <sheetView workbookViewId="0">
      <selection activeCell="A13" sqref="A13"/>
    </sheetView>
  </sheetViews>
  <sheetFormatPr defaultRowHeight="15" x14ac:dyDescent="0.25"/>
  <cols>
    <col min="1" max="1" width="35" customWidth="1"/>
    <col min="2" max="2" width="37.5703125" customWidth="1"/>
    <col min="3" max="3" width="22.7109375" customWidth="1"/>
    <col min="5" max="5" width="18.42578125" customWidth="1"/>
    <col min="6" max="6" width="21" customWidth="1"/>
    <col min="7" max="7" width="20.85546875" customWidth="1"/>
    <col min="8" max="8" width="21" customWidth="1"/>
    <col min="9" max="9" width="21.140625" customWidth="1"/>
    <col min="10" max="10" width="20.7109375" customWidth="1"/>
    <col min="11" max="11" width="20.85546875" customWidth="1"/>
    <col min="12" max="12" width="21.140625" customWidth="1"/>
    <col min="13" max="13" width="20.85546875" customWidth="1"/>
    <col min="14" max="14" width="20.7109375" customWidth="1"/>
    <col min="15" max="15" width="22" customWidth="1"/>
  </cols>
  <sheetData>
    <row r="2" spans="1:15" x14ac:dyDescent="0.25">
      <c r="E2" t="s">
        <v>0</v>
      </c>
    </row>
    <row r="3" spans="1:15" x14ac:dyDescent="0.25">
      <c r="F3" t="s">
        <v>35</v>
      </c>
      <c r="G3" t="s">
        <v>34</v>
      </c>
      <c r="H3" t="s">
        <v>36</v>
      </c>
      <c r="I3" t="s">
        <v>37</v>
      </c>
      <c r="J3" t="s">
        <v>38</v>
      </c>
      <c r="K3" t="s">
        <v>39</v>
      </c>
      <c r="L3" t="s">
        <v>40</v>
      </c>
      <c r="M3" t="s">
        <v>41</v>
      </c>
      <c r="N3" t="s">
        <v>42</v>
      </c>
      <c r="O3" t="s">
        <v>43</v>
      </c>
    </row>
    <row r="4" spans="1:15" x14ac:dyDescent="0.25">
      <c r="A4" t="s">
        <v>1</v>
      </c>
      <c r="B4" t="s">
        <v>59</v>
      </c>
      <c r="E4" t="s">
        <v>57</v>
      </c>
      <c r="F4">
        <v>15</v>
      </c>
      <c r="G4">
        <v>11</v>
      </c>
      <c r="H4">
        <v>17</v>
      </c>
      <c r="I4">
        <v>20</v>
      </c>
      <c r="J4">
        <v>26</v>
      </c>
      <c r="K4">
        <v>25</v>
      </c>
      <c r="L4">
        <v>29</v>
      </c>
      <c r="M4">
        <v>6</v>
      </c>
      <c r="N4">
        <v>14</v>
      </c>
      <c r="O4">
        <v>21</v>
      </c>
    </row>
    <row r="5" spans="1:15" x14ac:dyDescent="0.25">
      <c r="A5" t="s">
        <v>2</v>
      </c>
      <c r="B5" t="s">
        <v>43</v>
      </c>
      <c r="E5" t="s">
        <v>58</v>
      </c>
      <c r="F5">
        <v>23</v>
      </c>
      <c r="G5">
        <v>9</v>
      </c>
      <c r="H5">
        <v>15</v>
      </c>
      <c r="I5">
        <v>25</v>
      </c>
      <c r="J5">
        <v>38</v>
      </c>
      <c r="K5">
        <v>23</v>
      </c>
      <c r="L5">
        <v>40</v>
      </c>
      <c r="M5">
        <v>11</v>
      </c>
      <c r="N5">
        <v>12</v>
      </c>
      <c r="O5">
        <v>20</v>
      </c>
    </row>
    <row r="6" spans="1:15" x14ac:dyDescent="0.25">
      <c r="E6" t="s">
        <v>59</v>
      </c>
      <c r="F6">
        <v>6</v>
      </c>
      <c r="G6">
        <v>27</v>
      </c>
      <c r="H6">
        <v>34</v>
      </c>
      <c r="I6">
        <v>39</v>
      </c>
      <c r="J6">
        <v>17</v>
      </c>
      <c r="K6">
        <v>16</v>
      </c>
      <c r="L6">
        <v>8</v>
      </c>
      <c r="M6">
        <v>25</v>
      </c>
      <c r="N6">
        <v>30</v>
      </c>
      <c r="O6">
        <v>9</v>
      </c>
    </row>
    <row r="7" spans="1:15" x14ac:dyDescent="0.25">
      <c r="A7" t="s">
        <v>3</v>
      </c>
      <c r="B7" t="str">
        <f>_xlfn.IFNA(VLOOKUP(B4,Database!A:D,4,0),"")</f>
        <v>40.63677044382106, -73.9598669862945</v>
      </c>
    </row>
    <row r="8" spans="1:15" x14ac:dyDescent="0.25">
      <c r="A8" t="s">
        <v>4</v>
      </c>
      <c r="B8" t="str">
        <f>_xlfn.IFNA(VLOOKUP(B5,Database!A:D,4,0),"")</f>
        <v>40.677506669111125, -73.90006035761238</v>
      </c>
    </row>
    <row r="9" spans="1:15" x14ac:dyDescent="0.25">
      <c r="A9" t="s">
        <v>15</v>
      </c>
      <c r="B9" t="s">
        <v>16</v>
      </c>
    </row>
    <row r="11" spans="1:15" x14ac:dyDescent="0.25">
      <c r="A11" t="s">
        <v>5</v>
      </c>
      <c r="B11" cm="1">
        <f t="array" ref="B11">GetDistance(B7,B8,B9)</f>
        <v>9</v>
      </c>
    </row>
    <row r="12" spans="1:15" x14ac:dyDescent="0.25">
      <c r="A12" t="s">
        <v>60</v>
      </c>
    </row>
    <row r="13" spans="1:15" x14ac:dyDescent="0.25">
      <c r="A13" t="s">
        <v>35</v>
      </c>
      <c r="B13">
        <f>MIN(F4:F6)</f>
        <v>6</v>
      </c>
      <c r="C13" t="str">
        <f>INDEX($E$4:$E6,MATCH(MIN(F4:F6),F4:F6,0))</f>
        <v>myapi_transport_3</v>
      </c>
    </row>
    <row r="14" spans="1:15" x14ac:dyDescent="0.25">
      <c r="A14" t="s">
        <v>34</v>
      </c>
      <c r="B14">
        <f>MIN(G4:G6)</f>
        <v>9</v>
      </c>
      <c r="C14" t="str">
        <f>INDEX($E$4:$E6,MATCH(MIN(G4:G6),G4:G6,0))</f>
        <v>myapi_transport_2</v>
      </c>
    </row>
    <row r="15" spans="1:15" x14ac:dyDescent="0.25">
      <c r="A15" t="s">
        <v>36</v>
      </c>
      <c r="B15">
        <f>MIN(H4:H6)</f>
        <v>15</v>
      </c>
      <c r="C15" t="str">
        <f>INDEX($E$4:$E6,MATCH(MIN(H4:H6),H4:H6,0))</f>
        <v>myapi_transport_2</v>
      </c>
    </row>
    <row r="16" spans="1:15" x14ac:dyDescent="0.25">
      <c r="A16" t="s">
        <v>37</v>
      </c>
      <c r="B16">
        <f>MIN(I4:I6)</f>
        <v>20</v>
      </c>
      <c r="C16" t="str">
        <f>INDEX($E$4:$E6,MATCH(MIN(I4:I6),I4:I6,0))</f>
        <v>myapi_transport_1</v>
      </c>
    </row>
    <row r="17" spans="1:3" x14ac:dyDescent="0.25">
      <c r="A17" t="s">
        <v>38</v>
      </c>
      <c r="B17">
        <f>MIN(J4:J6)</f>
        <v>17</v>
      </c>
      <c r="C17" t="str">
        <f>INDEX($E$4:$E6,MATCH(MIN(J4:J6),J4:J6,0))</f>
        <v>myapi_transport_3</v>
      </c>
    </row>
    <row r="18" spans="1:3" x14ac:dyDescent="0.25">
      <c r="A18" t="s">
        <v>39</v>
      </c>
      <c r="B18">
        <f>MIN(K4:K6)</f>
        <v>16</v>
      </c>
      <c r="C18" t="str">
        <f>INDEX($E$4:$E6,MATCH(MIN(K4:K6),K4:K6,0))</f>
        <v>myapi_transport_3</v>
      </c>
    </row>
    <row r="19" spans="1:3" x14ac:dyDescent="0.25">
      <c r="A19" t="s">
        <v>40</v>
      </c>
      <c r="B19">
        <f>MIN(L4:L6)</f>
        <v>8</v>
      </c>
      <c r="C19" t="str">
        <f>INDEX($E$4:$E6,MATCH(MIN(L4:L6),L4:L6,0))</f>
        <v>myapi_transport_3</v>
      </c>
    </row>
    <row r="20" spans="1:3" x14ac:dyDescent="0.25">
      <c r="A20" t="s">
        <v>41</v>
      </c>
      <c r="B20">
        <f>MIN(M4:M6)</f>
        <v>6</v>
      </c>
      <c r="C20" t="str">
        <f>INDEX($E$4:$E6,MATCH(MIN(M4:M6),M4:M6,0))</f>
        <v>myapi_transport_1</v>
      </c>
    </row>
    <row r="21" spans="1:3" x14ac:dyDescent="0.25">
      <c r="A21" t="s">
        <v>42</v>
      </c>
      <c r="B21">
        <f>MIN(N4:N6)</f>
        <v>12</v>
      </c>
      <c r="C21" t="str">
        <f>INDEX($E$4:$E6,MATCH(MIN(N4:N6),N4:N6,0))</f>
        <v>myapi_transport_2</v>
      </c>
    </row>
    <row r="22" spans="1:3" x14ac:dyDescent="0.25">
      <c r="A22" t="s">
        <v>43</v>
      </c>
      <c r="B22">
        <f>MIN(O4:O6)</f>
        <v>9</v>
      </c>
      <c r="C22" t="str">
        <f>INDEX($E$4:$E6,MATCH(MIN(O4:O6),O4:O6,0))</f>
        <v>myapi_transport_3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7A06D-737D-4357-BEB9-D64F9EEE1FD1}">
  <sheetPr codeName="Sheet2"/>
  <dimension ref="A1:D24"/>
  <sheetViews>
    <sheetView workbookViewId="0">
      <selection activeCell="A11" sqref="A11"/>
    </sheetView>
  </sheetViews>
  <sheetFormatPr defaultRowHeight="15" x14ac:dyDescent="0.25"/>
  <cols>
    <col min="1" max="1" width="23.140625" customWidth="1"/>
    <col min="2" max="2" width="13" customWidth="1"/>
    <col min="3" max="3" width="18.5703125" customWidth="1"/>
    <col min="4" max="4" width="40.7109375" customWidth="1"/>
  </cols>
  <sheetData>
    <row r="1" spans="1:4" x14ac:dyDescent="0.25">
      <c r="A1" t="s">
        <v>6</v>
      </c>
      <c r="B1" t="s">
        <v>7</v>
      </c>
      <c r="C1" t="s">
        <v>8</v>
      </c>
      <c r="D1" t="s">
        <v>9</v>
      </c>
    </row>
    <row r="2" spans="1:4" x14ac:dyDescent="0.25">
      <c r="A2" t="s">
        <v>69</v>
      </c>
      <c r="B2">
        <v>40.7485867828278</v>
      </c>
      <c r="C2">
        <v>-73.985642944118098</v>
      </c>
      <c r="D2" t="s">
        <v>10</v>
      </c>
    </row>
    <row r="3" spans="1:4" x14ac:dyDescent="0.25">
      <c r="A3" t="s">
        <v>70</v>
      </c>
      <c r="B3">
        <v>40.536049463537601</v>
      </c>
      <c r="C3">
        <v>-74.194044037198907</v>
      </c>
      <c r="D3" t="s">
        <v>61</v>
      </c>
    </row>
    <row r="4" spans="1:4" x14ac:dyDescent="0.25">
      <c r="A4" t="s">
        <v>71</v>
      </c>
      <c r="B4">
        <v>40.8740506325098</v>
      </c>
      <c r="C4">
        <v>-73.883992200665801</v>
      </c>
      <c r="D4" t="s">
        <v>65</v>
      </c>
    </row>
    <row r="5" spans="1:4" x14ac:dyDescent="0.25">
      <c r="A5" t="s">
        <v>72</v>
      </c>
      <c r="B5">
        <v>40.720297624610303</v>
      </c>
      <c r="C5">
        <v>-73.844946893444401</v>
      </c>
      <c r="D5" t="s">
        <v>67</v>
      </c>
    </row>
    <row r="6" spans="1:4" x14ac:dyDescent="0.25">
      <c r="A6" t="s">
        <v>73</v>
      </c>
      <c r="B6">
        <v>40.663118589877399</v>
      </c>
      <c r="C6">
        <v>-73.960808044009397</v>
      </c>
      <c r="D6" t="s">
        <v>68</v>
      </c>
    </row>
    <row r="7" spans="1:4" x14ac:dyDescent="0.25">
      <c r="A7" t="s">
        <v>74</v>
      </c>
      <c r="B7">
        <v>40.649991018029603</v>
      </c>
      <c r="C7">
        <v>-73.772629263780601</v>
      </c>
      <c r="D7" t="s">
        <v>11</v>
      </c>
    </row>
    <row r="8" spans="1:4" x14ac:dyDescent="0.25">
      <c r="A8" t="s">
        <v>75</v>
      </c>
      <c r="B8">
        <v>40.6436062319817</v>
      </c>
      <c r="C8">
        <v>-74.076833459469597</v>
      </c>
      <c r="D8" t="s">
        <v>62</v>
      </c>
    </row>
    <row r="9" spans="1:4" x14ac:dyDescent="0.25">
      <c r="A9" t="s">
        <v>76</v>
      </c>
      <c r="B9">
        <v>40.583779224448399</v>
      </c>
      <c r="C9">
        <v>-73.950688250671305</v>
      </c>
      <c r="D9" t="s">
        <v>63</v>
      </c>
    </row>
    <row r="10" spans="1:4" x14ac:dyDescent="0.25">
      <c r="A10" t="s">
        <v>77</v>
      </c>
      <c r="B10">
        <v>40.845849091991198</v>
      </c>
      <c r="C10">
        <v>-73.936173392600196</v>
      </c>
      <c r="D10" t="s">
        <v>64</v>
      </c>
    </row>
    <row r="11" spans="1:4" x14ac:dyDescent="0.25">
      <c r="A11" t="s">
        <v>78</v>
      </c>
      <c r="B11">
        <v>40.816450273185602</v>
      </c>
      <c r="C11">
        <v>-73.916948459510493</v>
      </c>
      <c r="D11" t="s">
        <v>66</v>
      </c>
    </row>
    <row r="12" spans="1:4" x14ac:dyDescent="0.25">
      <c r="A12" t="s">
        <v>47</v>
      </c>
      <c r="B12">
        <v>40.663339437536102</v>
      </c>
      <c r="C12">
        <v>-73.932199450114794</v>
      </c>
      <c r="D12" t="s">
        <v>12</v>
      </c>
    </row>
    <row r="13" spans="1:4" x14ac:dyDescent="0.25">
      <c r="A13" t="s">
        <v>48</v>
      </c>
      <c r="B13">
        <v>40.730612234381098</v>
      </c>
      <c r="C13">
        <v>-73.842642023194699</v>
      </c>
      <c r="D13" t="s">
        <v>13</v>
      </c>
    </row>
    <row r="14" spans="1:4" x14ac:dyDescent="0.25">
      <c r="A14" t="s">
        <v>49</v>
      </c>
      <c r="B14">
        <v>40.820888011502802</v>
      </c>
      <c r="C14">
        <v>-73.865938751477003</v>
      </c>
      <c r="D14" t="s">
        <v>14</v>
      </c>
    </row>
    <row r="15" spans="1:4" x14ac:dyDescent="0.25">
      <c r="A15" t="s">
        <v>50</v>
      </c>
      <c r="B15" s="1">
        <v>40.873035572435199</v>
      </c>
      <c r="C15">
        <v>-73.912690645965498</v>
      </c>
      <c r="D15" t="s">
        <v>19</v>
      </c>
    </row>
    <row r="16" spans="1:4" x14ac:dyDescent="0.25">
      <c r="A16" t="s">
        <v>51</v>
      </c>
      <c r="B16">
        <v>40.606130741177502</v>
      </c>
      <c r="C16">
        <v>-74.070645544121106</v>
      </c>
      <c r="D16" t="s">
        <v>20</v>
      </c>
    </row>
    <row r="17" spans="1:4" x14ac:dyDescent="0.25">
      <c r="A17" t="s">
        <v>52</v>
      </c>
      <c r="B17">
        <v>40.658107037847898</v>
      </c>
      <c r="C17">
        <v>-73.864562001791398</v>
      </c>
      <c r="D17" t="s">
        <v>21</v>
      </c>
    </row>
    <row r="18" spans="1:4" x14ac:dyDescent="0.25">
      <c r="A18" t="s">
        <v>53</v>
      </c>
      <c r="B18">
        <v>40.586357463523598</v>
      </c>
      <c r="C18">
        <v>-73.997730774166996</v>
      </c>
      <c r="D18" t="s">
        <v>22</v>
      </c>
    </row>
    <row r="19" spans="1:4" x14ac:dyDescent="0.25">
      <c r="A19" t="s">
        <v>54</v>
      </c>
      <c r="B19">
        <v>40.779618959667602</v>
      </c>
      <c r="C19">
        <v>-73.895723188296003</v>
      </c>
      <c r="D19" t="s">
        <v>23</v>
      </c>
    </row>
    <row r="20" spans="1:4" x14ac:dyDescent="0.25">
      <c r="A20" t="s">
        <v>55</v>
      </c>
      <c r="B20">
        <v>40.703906982435498</v>
      </c>
      <c r="C20">
        <v>-73.816526459461798</v>
      </c>
      <c r="D20" t="s">
        <v>24</v>
      </c>
    </row>
    <row r="21" spans="1:4" x14ac:dyDescent="0.25">
      <c r="A21" t="s">
        <v>56</v>
      </c>
      <c r="B21">
        <v>40.677506669111096</v>
      </c>
      <c r="C21">
        <v>-73.900060357612304</v>
      </c>
      <c r="D21" t="s">
        <v>25</v>
      </c>
    </row>
    <row r="22" spans="1:4" x14ac:dyDescent="0.25">
      <c r="A22" t="s">
        <v>57</v>
      </c>
      <c r="B22">
        <v>40.748773122470801</v>
      </c>
      <c r="C22">
        <v>-73.937407404237703</v>
      </c>
      <c r="D22" t="s">
        <v>44</v>
      </c>
    </row>
    <row r="23" spans="1:4" x14ac:dyDescent="0.25">
      <c r="A23" t="s">
        <v>58</v>
      </c>
      <c r="B23">
        <v>40.757583827627997</v>
      </c>
      <c r="C23">
        <v>-73.793234984596296</v>
      </c>
      <c r="D23" t="s">
        <v>45</v>
      </c>
    </row>
    <row r="24" spans="1:4" x14ac:dyDescent="0.25">
      <c r="A24" t="s">
        <v>59</v>
      </c>
      <c r="B24">
        <v>40.636770443821</v>
      </c>
      <c r="C24">
        <v>-73.9598669862945</v>
      </c>
      <c r="D24" t="s">
        <v>46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SuperMatrix</vt:lpstr>
      <vt:lpstr>RestMatrix</vt:lpstr>
      <vt:lpstr>TransMatrix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2021-01-27T01:35:08Z</dcterms:created>
  <dcterms:modified xsi:type="dcterms:W3CDTF">2021-04-18T23:52:49Z</dcterms:modified>
</cp:coreProperties>
</file>